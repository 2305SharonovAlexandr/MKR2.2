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xWindow="-108" yWindow="-108" windowWidth="23256" windowHeight="13176"/>
  </bookViews>
  <sheets>
    <sheet name="Лист1" sheetId="1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/>
  <c r="B2"/>
  <c r="F12" l="1"/>
  <c r="H12"/>
  <c r="L12"/>
  <c r="P12"/>
  <c r="T12"/>
  <c r="X12"/>
  <c r="AB12"/>
  <c r="AF12"/>
  <c r="G12"/>
  <c r="K12"/>
  <c r="O12"/>
  <c r="S12"/>
  <c r="W12"/>
  <c r="AA12"/>
  <c r="AE12"/>
  <c r="J12"/>
  <c r="N12"/>
  <c r="R12"/>
  <c r="V12"/>
  <c r="Z12"/>
  <c r="AD12"/>
  <c r="AH12"/>
  <c r="AI11"/>
  <c r="I12"/>
  <c r="M12"/>
  <c r="Q12"/>
  <c r="U12"/>
  <c r="Y12"/>
  <c r="AC12"/>
  <c r="AG12"/>
  <c r="B14"/>
  <c r="B13"/>
  <c r="B15"/>
  <c r="F10"/>
  <c r="G10" s="1"/>
  <c r="H10" s="1"/>
  <c r="I10" s="1"/>
  <c r="J10" s="1"/>
  <c r="K10" s="1"/>
  <c r="L10" s="1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AF10" s="1"/>
  <c r="AG10" s="1"/>
  <c r="AH10" s="1"/>
  <c r="AI10" s="1"/>
  <c r="F16" l="1"/>
  <c r="E15"/>
  <c r="F15"/>
  <c r="F17" s="1"/>
  <c r="AH15"/>
  <c r="N15"/>
  <c r="V15"/>
  <c r="AD15"/>
  <c r="G15"/>
  <c r="W15"/>
  <c r="AE15"/>
  <c r="H15"/>
  <c r="P15"/>
  <c r="X15"/>
  <c r="AF15"/>
  <c r="I15"/>
  <c r="Q15"/>
  <c r="Y15"/>
  <c r="AG15"/>
  <c r="J15"/>
  <c r="R15"/>
  <c r="K15"/>
  <c r="L15"/>
  <c r="M15"/>
  <c r="O15"/>
  <c r="Z15"/>
  <c r="S15"/>
  <c r="T15"/>
  <c r="AB15"/>
  <c r="U15"/>
  <c r="AA15"/>
  <c r="AC15"/>
  <c r="G16" l="1"/>
  <c r="H16" s="1"/>
  <c r="I16" s="1"/>
  <c r="J16" s="1"/>
  <c r="K16" s="1"/>
  <c r="L16" s="1"/>
  <c r="M16" s="1"/>
  <c r="G17"/>
  <c r="H17" l="1"/>
  <c r="I17" s="1"/>
  <c r="J17" s="1"/>
  <c r="K17" s="1"/>
  <c r="L17" s="1"/>
  <c r="M17" s="1"/>
  <c r="N17" s="1"/>
  <c r="N16"/>
  <c r="O16" s="1"/>
  <c r="P16" s="1"/>
  <c r="Q16" s="1"/>
  <c r="R16" s="1"/>
  <c r="S16" s="1"/>
  <c r="T16" s="1"/>
  <c r="U16" s="1"/>
  <c r="V16" s="1"/>
  <c r="W16" s="1"/>
  <c r="X16" s="1"/>
  <c r="Y16" s="1"/>
  <c r="Z16" s="1"/>
  <c r="AA16" s="1"/>
  <c r="AB16" s="1"/>
  <c r="AC16" s="1"/>
  <c r="AD16" s="1"/>
  <c r="AE16" s="1"/>
  <c r="AF16" s="1"/>
  <c r="AG16" s="1"/>
  <c r="AH16" s="1"/>
  <c r="O17" l="1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AH17" s="1"/>
  <c r="AH13" l="1"/>
  <c r="AG13" s="1"/>
  <c r="AF13" s="1"/>
  <c r="AE13" s="1"/>
  <c r="AD13" s="1"/>
  <c r="AC13" s="1"/>
  <c r="AB13" s="1"/>
  <c r="AA13" s="1"/>
  <c r="Z13" s="1"/>
  <c r="Y13" s="1"/>
  <c r="X13" s="1"/>
  <c r="W13" s="1"/>
  <c r="V13" s="1"/>
  <c r="U13" s="1"/>
  <c r="T13" s="1"/>
  <c r="S13" s="1"/>
  <c r="R13" s="1"/>
  <c r="Q13" s="1"/>
  <c r="P13" s="1"/>
  <c r="O13" s="1"/>
  <c r="N13" s="1"/>
  <c r="M13" l="1"/>
  <c r="L13" s="1"/>
  <c r="K13" s="1"/>
  <c r="J13" s="1"/>
  <c r="I13" s="1"/>
  <c r="H13" s="1"/>
  <c r="G13" s="1"/>
  <c r="F13" s="1"/>
</calcChain>
</file>

<file path=xl/sharedStrings.xml><?xml version="1.0" encoding="utf-8"?>
<sst xmlns="http://schemas.openxmlformats.org/spreadsheetml/2006/main" count="20" uniqueCount="17">
  <si>
    <t>L</t>
  </si>
  <si>
    <t>dx</t>
  </si>
  <si>
    <t>dt</t>
  </si>
  <si>
    <t>t</t>
  </si>
  <si>
    <t>Cp</t>
  </si>
  <si>
    <t>r0</t>
  </si>
  <si>
    <t>lamda</t>
  </si>
  <si>
    <t>tstart</t>
  </si>
  <si>
    <t>tend</t>
  </si>
  <si>
    <t>q</t>
  </si>
  <si>
    <t>alfa</t>
  </si>
  <si>
    <t>A</t>
  </si>
  <si>
    <t>B</t>
  </si>
  <si>
    <t>C</t>
  </si>
  <si>
    <t>F</t>
  </si>
  <si>
    <t>betta</t>
  </si>
  <si>
    <t>titer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</si>
</sst>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28"/>
  <c:chart>
    <c:title>
      <c:tx>
        <c:rich>
          <a:bodyPr/>
          <a:lstStyle/>
          <a:p>
            <a:pPr>
              <a:defRPr/>
            </a:pPr>
            <a:r>
              <a:rPr lang="en-US"/>
              <a:t>L[</a:t>
            </a:r>
            <a:r>
              <a:rPr lang="ru-RU"/>
              <a:t>м</a:t>
            </a:r>
            <a:r>
              <a:rPr lang="en-US"/>
              <a:t>]</a:t>
            </a:r>
            <a:endParaRPr lang="ru-RU"/>
          </a:p>
        </c:rich>
      </c:tx>
      <c:layout>
        <c:manualLayout>
          <c:xMode val="edge"/>
          <c:yMode val="edge"/>
          <c:x val="0.90475672740317592"/>
          <c:y val="0.91855217256210919"/>
        </c:manualLayout>
      </c:layout>
    </c:title>
    <c:plotArea>
      <c:layout/>
      <c:lineChart>
        <c:grouping val="stacked"/>
        <c:ser>
          <c:idx val="0"/>
          <c:order val="0"/>
          <c:marker>
            <c:symbol val="none"/>
          </c:marker>
          <c:cat>
            <c:numRef>
              <c:f>Лист1!$E$10:$AI$10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Лист1!$E$11:$AI$11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292.2593428436486</c:v>
                </c:pt>
                <c:pt idx="2">
                  <c:v>284.53045387963618</c:v>
                </c:pt>
                <c:pt idx="3">
                  <c:v>276.82497230749306</c:v>
                </c:pt>
                <c:pt idx="4">
                  <c:v>269.15428075694047</c:v>
                </c:pt>
                <c:pt idx="5">
                  <c:v>261.52938052688506</c:v>
                </c:pt>
                <c:pt idx="6">
                  <c:v>253.96077100952249</c:v>
                </c:pt>
                <c:pt idx="7">
                  <c:v>246.45833462250226</c:v>
                </c:pt>
                <c:pt idx="8">
                  <c:v>239.03122851135879</c:v>
                </c:pt>
                <c:pt idx="9">
                  <c:v>231.68778420977674</c:v>
                </c:pt>
                <c:pt idx="10">
                  <c:v>224.435416357565</c:v>
                </c:pt>
                <c:pt idx="11">
                  <c:v>217.28054147644301</c:v>
                </c:pt>
                <c:pt idx="12">
                  <c:v>210.22850769301925</c:v>
                </c:pt>
                <c:pt idx="13">
                  <c:v>203.28353617789458</c:v>
                </c:pt>
                <c:pt idx="14">
                  <c:v>196.44867494099674</c:v>
                </c:pt>
                <c:pt idx="15">
                  <c:v>189.72576548747844</c:v>
                </c:pt>
                <c:pt idx="16">
                  <c:v>183.11542269729625</c:v>
                </c:pt>
                <c:pt idx="17">
                  <c:v>176.61702814648746</c:v>
                </c:pt>
                <c:pt idx="18">
                  <c:v>170.22873694078345</c:v>
                </c:pt>
                <c:pt idx="19">
                  <c:v>163.94749798415117</c:v>
                </c:pt>
                <c:pt idx="20">
                  <c:v>157.76908745777274</c:v>
                </c:pt>
                <c:pt idx="21">
                  <c:v>151.68815514045079</c:v>
                </c:pt>
                <c:pt idx="22">
                  <c:v>145.69828306104878</c:v>
                </c:pt>
                <c:pt idx="23">
                  <c:v>139.79205583885889</c:v>
                </c:pt>
                <c:pt idx="24">
                  <c:v>133.96114194019626</c:v>
                </c:pt>
                <c:pt idx="25">
                  <c:v>128.19638496042563</c:v>
                </c:pt>
                <c:pt idx="26">
                  <c:v>122.48790393131466</c:v>
                </c:pt>
                <c:pt idx="27">
                  <c:v>116.8252015552566</c:v>
                </c:pt>
                <c:pt idx="28">
                  <c:v>111.19727918156191</c:v>
                </c:pt>
                <c:pt idx="29">
                  <c:v>105.59275726661448</c:v>
                </c:pt>
                <c:pt idx="30">
                  <c:v>98.926090599947813</c:v>
                </c:pt>
              </c:numCache>
            </c:numRef>
          </c:val>
        </c:ser>
        <c:marker val="1"/>
        <c:axId val="161002240"/>
        <c:axId val="168358272"/>
      </c:lineChart>
      <c:catAx>
        <c:axId val="161002240"/>
        <c:scaling>
          <c:orientation val="minMax"/>
        </c:scaling>
        <c:axPos val="b"/>
        <c:majorGridlines/>
        <c:numFmt formatCode="0.00" sourceLinked="1"/>
        <c:majorTickMark val="none"/>
        <c:tickLblPos val="nextTo"/>
        <c:crossAx val="168358272"/>
        <c:crosses val="autoZero"/>
        <c:auto val="1"/>
        <c:lblAlgn val="ctr"/>
        <c:lblOffset val="100"/>
      </c:catAx>
      <c:valAx>
        <c:axId val="1683582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 sz="1800"/>
                  <a:t>Температура</a:t>
                </a:r>
                <a:r>
                  <a:rPr lang="ru-RU" sz="1800" baseline="0"/>
                  <a:t> </a:t>
                </a:r>
                <a:r>
                  <a:rPr lang="en-US" sz="1800" baseline="0"/>
                  <a:t>[C]</a:t>
                </a:r>
                <a:endParaRPr lang="ru-RU" sz="1800"/>
              </a:p>
            </c:rich>
          </c:tx>
          <c:layout/>
        </c:title>
        <c:numFmt formatCode="General" sourceLinked="1"/>
        <c:majorTickMark val="none"/>
        <c:tickLblPos val="nextTo"/>
        <c:crossAx val="1610022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152399</xdr:colOff>
      <xdr:row>17</xdr:row>
      <xdr:rowOff>163286</xdr:rowOff>
    </xdr:from>
    <xdr:to>
      <xdr:col>25</xdr:col>
      <xdr:colOff>381000</xdr:colOff>
      <xdr:row>43</xdr:row>
      <xdr:rowOff>163285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I21"/>
  <sheetViews>
    <sheetView tabSelected="1" zoomScale="70" zoomScaleNormal="70" workbookViewId="0">
      <selection activeCell="AE27" sqref="AE27"/>
    </sheetView>
  </sheetViews>
  <sheetFormatPr defaultRowHeight="14.4"/>
  <cols>
    <col min="1" max="1" width="9" customWidth="1"/>
    <col min="2" max="2" width="9.5546875" customWidth="1"/>
    <col min="5" max="5" width="12.77734375" bestFit="1" customWidth="1"/>
    <col min="6" max="6" width="8.6640625" customWidth="1"/>
    <col min="7" max="33" width="7.44140625" bestFit="1" customWidth="1"/>
    <col min="34" max="34" width="8" customWidth="1"/>
    <col min="35" max="35" width="7.44140625" bestFit="1" customWidth="1"/>
  </cols>
  <sheetData>
    <row r="1" spans="1:35">
      <c r="A1" s="1" t="s">
        <v>0</v>
      </c>
      <c r="B1" s="1">
        <v>0.1</v>
      </c>
    </row>
    <row r="2" spans="1:35">
      <c r="A2" s="1" t="s">
        <v>1</v>
      </c>
      <c r="B2" s="1">
        <f>B1/30</f>
        <v>3.3333333333333335E-3</v>
      </c>
    </row>
    <row r="3" spans="1:35">
      <c r="A3" s="1" t="s">
        <v>2</v>
      </c>
      <c r="B3" s="1">
        <v>0.33</v>
      </c>
    </row>
    <row r="4" spans="1:35">
      <c r="A4" s="2" t="s">
        <v>3</v>
      </c>
      <c r="B4" s="2">
        <v>200</v>
      </c>
      <c r="C4">
        <v>3.3000000000000003</v>
      </c>
    </row>
    <row r="5" spans="1:35">
      <c r="A5" s="5"/>
      <c r="B5" s="5"/>
    </row>
    <row r="6" spans="1:35">
      <c r="A6" s="3" t="s">
        <v>4</v>
      </c>
      <c r="B6" s="3">
        <v>460</v>
      </c>
    </row>
    <row r="7" spans="1:35">
      <c r="A7" s="1" t="s">
        <v>5</v>
      </c>
      <c r="B7" s="1">
        <v>7800</v>
      </c>
    </row>
    <row r="8" spans="1:35">
      <c r="A8" s="1" t="s">
        <v>6</v>
      </c>
      <c r="B8" s="1">
        <v>46</v>
      </c>
    </row>
    <row r="9" spans="1:35">
      <c r="A9" s="4"/>
      <c r="B9" s="4"/>
      <c r="E9" s="1">
        <v>1</v>
      </c>
      <c r="F9" s="1">
        <v>2</v>
      </c>
      <c r="G9" s="1">
        <v>3</v>
      </c>
      <c r="H9" s="1">
        <v>4</v>
      </c>
      <c r="I9" s="1">
        <v>5</v>
      </c>
      <c r="J9" s="1">
        <v>6</v>
      </c>
      <c r="K9" s="1">
        <v>7</v>
      </c>
      <c r="L9" s="1">
        <v>8</v>
      </c>
      <c r="M9" s="1">
        <v>9</v>
      </c>
      <c r="N9" s="1">
        <v>10</v>
      </c>
      <c r="O9" s="1">
        <v>11</v>
      </c>
      <c r="P9" s="1">
        <v>12</v>
      </c>
      <c r="Q9" s="1">
        <v>13</v>
      </c>
      <c r="R9" s="1">
        <v>14</v>
      </c>
      <c r="S9" s="1">
        <v>15</v>
      </c>
      <c r="T9" s="1">
        <v>16</v>
      </c>
      <c r="U9" s="1">
        <v>17</v>
      </c>
      <c r="V9" s="1">
        <v>18</v>
      </c>
      <c r="W9" s="1">
        <v>19</v>
      </c>
      <c r="X9" s="1">
        <v>20</v>
      </c>
      <c r="Y9" s="1">
        <v>21</v>
      </c>
      <c r="Z9" s="1">
        <v>22</v>
      </c>
      <c r="AA9" s="1">
        <v>23</v>
      </c>
      <c r="AB9" s="1">
        <v>24</v>
      </c>
      <c r="AC9" s="1">
        <v>25</v>
      </c>
      <c r="AD9" s="1">
        <v>26</v>
      </c>
      <c r="AE9" s="1">
        <v>27</v>
      </c>
      <c r="AF9" s="1">
        <v>28</v>
      </c>
      <c r="AG9" s="1">
        <v>29</v>
      </c>
      <c r="AH9" s="1">
        <v>30</v>
      </c>
      <c r="AI9" s="1">
        <v>31</v>
      </c>
    </row>
    <row r="10" spans="1:35">
      <c r="A10" s="1" t="s">
        <v>7</v>
      </c>
      <c r="B10" s="1">
        <v>300</v>
      </c>
      <c r="D10" s="1" t="s">
        <v>0</v>
      </c>
      <c r="E10" s="6">
        <v>0</v>
      </c>
      <c r="F10" s="6">
        <f>E10+$B$2</f>
        <v>3.3333333333333335E-3</v>
      </c>
      <c r="G10" s="6">
        <f>F10+$B$2</f>
        <v>6.6666666666666671E-3</v>
      </c>
      <c r="H10" s="6">
        <f>G10+$B$2</f>
        <v>0.01</v>
      </c>
      <c r="I10" s="6">
        <f>H10+$B$2</f>
        <v>1.3333333333333334E-2</v>
      </c>
      <c r="J10" s="6">
        <f>I10+$B$2</f>
        <v>1.6666666666666666E-2</v>
      </c>
      <c r="K10" s="6">
        <f>J10+$B$2</f>
        <v>0.02</v>
      </c>
      <c r="L10" s="6">
        <f>K10+$B$2</f>
        <v>2.3333333333333334E-2</v>
      </c>
      <c r="M10" s="6">
        <f>L10+$B$2</f>
        <v>2.6666666666666668E-2</v>
      </c>
      <c r="N10" s="6">
        <f>M10+$B$2</f>
        <v>3.0000000000000002E-2</v>
      </c>
      <c r="O10" s="6">
        <f>N10+$B$2</f>
        <v>3.3333333333333333E-2</v>
      </c>
      <c r="P10" s="6">
        <f>O10+$B$2</f>
        <v>3.6666666666666667E-2</v>
      </c>
      <c r="Q10" s="6">
        <f>P10+$B$2</f>
        <v>0.04</v>
      </c>
      <c r="R10" s="6">
        <f>Q10+$B$2</f>
        <v>4.3333333333333335E-2</v>
      </c>
      <c r="S10" s="6">
        <f>R10+$B$2</f>
        <v>4.6666666666666669E-2</v>
      </c>
      <c r="T10" s="6">
        <f>S10+$B$2</f>
        <v>0.05</v>
      </c>
      <c r="U10" s="6">
        <f>T10+$B$2</f>
        <v>5.3333333333333337E-2</v>
      </c>
      <c r="V10" s="6">
        <f>U10+$B$2</f>
        <v>5.6666666666666671E-2</v>
      </c>
      <c r="W10" s="6">
        <f>V10+$B$2</f>
        <v>6.0000000000000005E-2</v>
      </c>
      <c r="X10" s="6">
        <f>W10+$B$2</f>
        <v>6.3333333333333339E-2</v>
      </c>
      <c r="Y10" s="6">
        <f>X10+$B$2</f>
        <v>6.6666666666666666E-2</v>
      </c>
      <c r="Z10" s="6">
        <f>Y10+$B$2</f>
        <v>6.9999999999999993E-2</v>
      </c>
      <c r="AA10" s="6">
        <f>Z10+$B$2</f>
        <v>7.333333333333332E-2</v>
      </c>
      <c r="AB10" s="6">
        <f>AA10+$B$2</f>
        <v>7.6666666666666647E-2</v>
      </c>
      <c r="AC10" s="6">
        <f>AB10+$B$2</f>
        <v>7.9999999999999974E-2</v>
      </c>
      <c r="AD10" s="6">
        <f>AC10+$B$2</f>
        <v>8.3333333333333301E-2</v>
      </c>
      <c r="AE10" s="6">
        <f>AD10+$B$2</f>
        <v>8.6666666666666628E-2</v>
      </c>
      <c r="AF10" s="6">
        <f>AE10+$B$2</f>
        <v>8.9999999999999955E-2</v>
      </c>
      <c r="AG10" s="6">
        <f>AF10+$B$2</f>
        <v>9.3333333333333282E-2</v>
      </c>
      <c r="AH10" s="6">
        <f>AG10+$B$2</f>
        <v>9.6666666666666609E-2</v>
      </c>
      <c r="AI10" s="6">
        <f>AH10+$B$2</f>
        <v>9.9999999999999936E-2</v>
      </c>
    </row>
    <row r="11" spans="1:35">
      <c r="A11" s="2" t="s">
        <v>8</v>
      </c>
      <c r="B11" s="2">
        <v>100</v>
      </c>
      <c r="D11" s="1" t="s">
        <v>3</v>
      </c>
      <c r="E11">
        <f>B10</f>
        <v>300</v>
      </c>
      <c r="F11">
        <v>292.2593428436486</v>
      </c>
      <c r="G11">
        <v>284.53045387963618</v>
      </c>
      <c r="H11">
        <v>276.82497230749306</v>
      </c>
      <c r="I11">
        <v>269.15428075694047</v>
      </c>
      <c r="J11">
        <v>261.52938052688506</v>
      </c>
      <c r="K11">
        <v>253.96077100952249</v>
      </c>
      <c r="L11">
        <v>246.45833462250226</v>
      </c>
      <c r="M11">
        <v>239.03122851135879</v>
      </c>
      <c r="N11">
        <v>231.68778420977674</v>
      </c>
      <c r="O11">
        <v>224.435416357565</v>
      </c>
      <c r="P11">
        <v>217.28054147644301</v>
      </c>
      <c r="Q11">
        <v>210.22850769301925</v>
      </c>
      <c r="R11">
        <v>203.28353617789458</v>
      </c>
      <c r="S11">
        <v>196.44867494099674</v>
      </c>
      <c r="T11">
        <v>189.72576548747844</v>
      </c>
      <c r="U11">
        <v>183.11542269729625</v>
      </c>
      <c r="V11">
        <v>176.61702814648746</v>
      </c>
      <c r="W11">
        <v>170.22873694078345</v>
      </c>
      <c r="X11">
        <v>163.94749798415117</v>
      </c>
      <c r="Y11">
        <v>157.76908745777274</v>
      </c>
      <c r="Z11">
        <v>151.68815514045079</v>
      </c>
      <c r="AA11">
        <v>145.69828306104878</v>
      </c>
      <c r="AB11">
        <v>139.79205583885889</v>
      </c>
      <c r="AC11">
        <v>133.96114194019626</v>
      </c>
      <c r="AD11">
        <v>128.19638496042563</v>
      </c>
      <c r="AE11">
        <v>122.48790393131466</v>
      </c>
      <c r="AF11">
        <v>116.8252015552566</v>
      </c>
      <c r="AG11">
        <v>111.19727918156191</v>
      </c>
      <c r="AH11">
        <v>105.59275726661448</v>
      </c>
      <c r="AI11">
        <f>AH11-(AI12*B2/B8)</f>
        <v>98.926090599947813</v>
      </c>
    </row>
    <row r="12" spans="1:35">
      <c r="A12" s="5"/>
      <c r="B12" s="5"/>
      <c r="D12" s="1" t="s">
        <v>9</v>
      </c>
      <c r="E12">
        <v>92000</v>
      </c>
      <c r="F12">
        <f>(E11-F11)*$B$8/$B$2</f>
        <v>106821.06875764937</v>
      </c>
      <c r="G12">
        <f>(F11-G11)*$B$8/$B$2</f>
        <v>106658.66770337129</v>
      </c>
      <c r="H12">
        <f>(G11-H11)*$B$8/$B$2</f>
        <v>106335.64569557516</v>
      </c>
      <c r="I12">
        <f>(H11-I11)*$B$8/$B$2</f>
        <v>105855.54339762573</v>
      </c>
      <c r="J12">
        <f>(I11-J11)*$B$8/$B$2</f>
        <v>105223.62317476455</v>
      </c>
      <c r="K12">
        <f>(J11-K11)*$B$8/$B$2</f>
        <v>104446.81133960352</v>
      </c>
      <c r="L12">
        <f>(K11-L11)*$B$8/$B$2</f>
        <v>103533.6221408791</v>
      </c>
      <c r="M12">
        <f>(L11-M11)*$B$8/$B$2</f>
        <v>102494.06433377993</v>
      </c>
      <c r="N12">
        <f>(M11-N11)*$B$8/$B$2</f>
        <v>101339.53136183233</v>
      </c>
      <c r="O12">
        <f>(N11-O11)*$B$8/$B$2</f>
        <v>100082.67636052192</v>
      </c>
      <c r="P12">
        <f>(O11-P11)*$B$8/$B$2</f>
        <v>98737.273359483559</v>
      </c>
      <c r="Q12">
        <f>(P11-Q11)*$B$8/$B$2</f>
        <v>97318.066211247773</v>
      </c>
      <c r="R12">
        <f>(Q11-R11)*$B$8/$B$2</f>
        <v>95840.606908720554</v>
      </c>
      <c r="S12">
        <f>(R11-S11)*$B$8/$B$2</f>
        <v>94321.085069190143</v>
      </c>
      <c r="T12">
        <f>(S11-T11)*$B$8/$B$2</f>
        <v>92776.150458552511</v>
      </c>
      <c r="U12">
        <f>(T11-U11)*$B$8/$B$2</f>
        <v>91222.730504514184</v>
      </c>
      <c r="V12">
        <f>(U11-V11)*$B$8/$B$2</f>
        <v>89677.844801161395</v>
      </c>
      <c r="W12">
        <f>(V11-W11)*$B$8/$B$2</f>
        <v>88158.418638715302</v>
      </c>
      <c r="X12">
        <f>(W11-X11)*$B$8/$B$2</f>
        <v>86681.097601525442</v>
      </c>
      <c r="Y12">
        <f>(X11-Y11)*$B$8/$B$2</f>
        <v>85262.065264022312</v>
      </c>
      <c r="Z12">
        <f>(Y11-Z11)*$B$8/$B$2</f>
        <v>83916.865979042937</v>
      </c>
      <c r="AA12">
        <f>(Z11-AA11)*$B$8/$B$2</f>
        <v>82660.234695747669</v>
      </c>
      <c r="AB12">
        <f>(AA11-AB11)*$B$8/$B$2</f>
        <v>81505.935666220583</v>
      </c>
      <c r="AC12">
        <f>(AB11-AC11)*$B$8/$B$2</f>
        <v>80466.611801544277</v>
      </c>
      <c r="AD12">
        <f>(AC11-AD11)*$B$8/$B$2</f>
        <v>79553.64632083461</v>
      </c>
      <c r="AE12">
        <f>(AD11-AE11)*$B$8/$B$2</f>
        <v>78777.038201731382</v>
      </c>
      <c r="AF12">
        <f>(AE11-AF11)*$B$8/$B$2</f>
        <v>78145.292789601284</v>
      </c>
      <c r="AG12">
        <f>(AF11-AG11)*$B$8/$B$2</f>
        <v>77665.328756986695</v>
      </c>
      <c r="AH12">
        <f>(AG11-AH11)*$B$8/$B$2</f>
        <v>77342.402426274464</v>
      </c>
      <c r="AI12">
        <v>92000</v>
      </c>
    </row>
    <row r="13" spans="1:35">
      <c r="A13" s="3" t="s">
        <v>11</v>
      </c>
      <c r="B13" s="3">
        <f>B8/B2^2</f>
        <v>4139999.9999999991</v>
      </c>
      <c r="D13" s="1" t="s">
        <v>16</v>
      </c>
      <c r="F13">
        <f>F16*G13+F17</f>
        <v>292.26380518497797</v>
      </c>
      <c r="G13">
        <f t="shared" ref="G13:AF13" si="0">G16*H13+G17</f>
        <v>284.53932965021488</v>
      </c>
      <c r="H13">
        <f t="shared" si="0"/>
        <v>276.83816422000189</v>
      </c>
      <c r="I13">
        <f t="shared" si="0"/>
        <v>269.17164421657969</v>
      </c>
      <c r="J13">
        <f t="shared" si="0"/>
        <v>261.55072521827066</v>
      </c>
      <c r="K13">
        <f t="shared" si="0"/>
        <v>253.98586298521661</v>
      </c>
      <c r="L13">
        <f t="shared" si="0"/>
        <v>246.48689887014714</v>
      </c>
      <c r="M13">
        <f>M16*N13+M17</f>
        <v>239.06295197111479</v>
      </c>
      <c r="N13">
        <f t="shared" si="0"/>
        <v>231.72231920881524</v>
      </c>
      <c r="O13">
        <f t="shared" si="0"/>
        <v>224.4723844237885</v>
      </c>
      <c r="P13">
        <f t="shared" si="0"/>
        <v>217.31953748944971</v>
      </c>
      <c r="Q13">
        <f t="shared" si="0"/>
        <v>210.2691043266438</v>
      </c>
      <c r="R13">
        <f t="shared" si="0"/>
        <v>203.32528858547806</v>
      </c>
      <c r="S13">
        <f t="shared" si="0"/>
        <v>196.49112563190533</v>
      </c>
      <c r="T13">
        <f t="shared" si="0"/>
        <v>189.76844934132473</v>
      </c>
      <c r="U13">
        <f t="shared" si="0"/>
        <v>183.15787206084551</v>
      </c>
      <c r="V13">
        <f t="shared" si="0"/>
        <v>176.65877795736429</v>
      </c>
      <c r="W13">
        <f t="shared" si="0"/>
        <v>170.26932982184258</v>
      </c>
      <c r="X13">
        <f t="shared" si="0"/>
        <v>163.98648925273886</v>
      </c>
      <c r="Y13">
        <f t="shared" si="0"/>
        <v>157.80604999507739</v>
      </c>
      <c r="Z13">
        <f t="shared" si="0"/>
        <v>151.72268406771096</v>
      </c>
      <c r="AA13">
        <f t="shared" si="0"/>
        <v>145.73000017153277</v>
      </c>
      <c r="AB13">
        <f t="shared" si="0"/>
        <v>139.82061373723175</v>
      </c>
      <c r="AC13">
        <f t="shared" si="0"/>
        <v>133.98622784411205</v>
      </c>
      <c r="AD13">
        <f t="shared" si="0"/>
        <v>128.21772412289238</v>
      </c>
      <c r="AE13">
        <f t="shared" si="0"/>
        <v>122.50526264653486</v>
      </c>
      <c r="AF13">
        <f t="shared" si="0"/>
        <v>116.83838971520008</v>
      </c>
      <c r="AG13">
        <f>AG16*AH13+AG17</f>
        <v>111.20615235543401</v>
      </c>
      <c r="AH13">
        <f>AH16*AI13+AH17</f>
        <v>105.59721828058457</v>
      </c>
      <c r="AI13">
        <v>100</v>
      </c>
    </row>
    <row r="14" spans="1:35">
      <c r="A14" s="1" t="s">
        <v>12</v>
      </c>
      <c r="B14" s="1">
        <f>(2*B8)/(B2^2)+(B7*B6)/B3</f>
        <v>19152727.27272727</v>
      </c>
    </row>
    <row r="15" spans="1:35">
      <c r="A15" s="1" t="s">
        <v>13</v>
      </c>
      <c r="B15" s="1">
        <f>B8/B2^2</f>
        <v>4139999.9999999991</v>
      </c>
      <c r="D15" s="1" t="s">
        <v>14</v>
      </c>
      <c r="E15">
        <f>-$B$7*$B$6*E11/$B$3</f>
        <v>-3261818181.8181815</v>
      </c>
      <c r="F15">
        <f>-$B$7*$B$6*F11/$B$3</f>
        <v>-3177656127.6454883</v>
      </c>
      <c r="G15">
        <f>-$B$7*$B$6*G11/$B$3</f>
        <v>-3093622025.8185897</v>
      </c>
      <c r="H15">
        <f>-$B$7*$B$6*H11/$B$3</f>
        <v>-3009842426.1796517</v>
      </c>
      <c r="I15">
        <f>-$B$7*$B$6*I11/$B$3</f>
        <v>-2926441088.9572802</v>
      </c>
      <c r="J15">
        <f>-$B$7*$B$6*J11/$B$3</f>
        <v>-2843537628.2741323</v>
      </c>
      <c r="K15">
        <f>-$B$7*$B$6*K11/$B$3</f>
        <v>-2761246201.1580811</v>
      </c>
      <c r="L15">
        <f>-$B$7*$B$6*L11/$B$3</f>
        <v>-2679674256.4410243</v>
      </c>
      <c r="M15">
        <f>-$B$7*$B$6*M11/$B$3</f>
        <v>-2598921357.2689552</v>
      </c>
      <c r="N15">
        <f>-$B$7*$B$6*N11/$B$3</f>
        <v>-2519078090.1353908</v>
      </c>
      <c r="O15">
        <f>-$B$7*$B$6*O11/$B$3</f>
        <v>-2440225072.3967977</v>
      </c>
      <c r="P15">
        <f>-$B$7*$B$6*P11/$B$3</f>
        <v>-2362432069.1438708</v>
      </c>
      <c r="Q15">
        <f>-$B$7*$B$6*Q11/$B$3</f>
        <v>-2285757229.0986457</v>
      </c>
      <c r="R15">
        <f>-$B$7*$B$6*R11/$B$3</f>
        <v>-2210246447.8978353</v>
      </c>
      <c r="S15">
        <f>-$B$7*$B$6*S11/$B$3</f>
        <v>-2135932865.72211</v>
      </c>
      <c r="T15">
        <f>-$B$7*$B$6*T11/$B$3</f>
        <v>-2062836504.7547653</v>
      </c>
      <c r="U15">
        <f>-$B$7*$B$6*U11/$B$3</f>
        <v>-1990964050.4178755</v>
      </c>
      <c r="V15">
        <f>-$B$7*$B$6*V11/$B$3</f>
        <v>-1920308778.7563543</v>
      </c>
      <c r="W15">
        <f>-$B$7*$B$6*W11/$B$3</f>
        <v>-1850850630.7379725</v>
      </c>
      <c r="X15">
        <f>-$B$7*$B$6*X11/$B$3</f>
        <v>-1782556432.6276801</v>
      </c>
      <c r="Y15">
        <f>-$B$7*$B$6*Y11/$B$3</f>
        <v>-1715380259.99542</v>
      </c>
      <c r="Z15">
        <f>-$B$7*$B$6*Z11/$B$3</f>
        <v>-1649263941.3452649</v>
      </c>
      <c r="AA15">
        <f>-$B$7*$B$6*AA11/$B$3</f>
        <v>-1584137695.8274031</v>
      </c>
      <c r="AB15">
        <f>-$B$7*$B$6*AB11/$B$3</f>
        <v>-1519920898.0297747</v>
      </c>
      <c r="AC15">
        <f>-$B$7*$B$6*AC11/$B$3</f>
        <v>-1456522961.4588611</v>
      </c>
      <c r="AD15">
        <f>-$B$7*$B$6*AD11/$B$3</f>
        <v>-1393844331.0242641</v>
      </c>
      <c r="AE15">
        <f>-$B$7*$B$6*AE11/$B$3</f>
        <v>-1331777573.653203</v>
      </c>
      <c r="AF15">
        <f>-$B$7*$B$6*AF11/$B$3</f>
        <v>-1270208555.0916989</v>
      </c>
      <c r="AG15">
        <f>-$B$7*$B$6*AG11/$B$3</f>
        <v>-1209017690.0104368</v>
      </c>
      <c r="AH15">
        <f>-$B$7*$B$6*AH11/$B$3</f>
        <v>-1148081251.7351902</v>
      </c>
    </row>
    <row r="16" spans="1:35">
      <c r="D16" s="1" t="s">
        <v>10</v>
      </c>
      <c r="E16">
        <v>0</v>
      </c>
      <c r="F16">
        <f>$B$13/($B$14-$B$15*E16)</f>
        <v>0.21615720524017465</v>
      </c>
      <c r="G16">
        <f>$B$13/($B$14-$B$15*F16)</f>
        <v>0.22675194911058544</v>
      </c>
      <c r="H16">
        <f>$B$13/($B$14-$B$15*G16)</f>
        <v>0.22729800502435318</v>
      </c>
      <c r="I16">
        <f>$B$13/($B$14-$B$15*H16)</f>
        <v>0.2273262201682604</v>
      </c>
      <c r="J16">
        <f>$B$13/($B$14-$B$15*I16)</f>
        <v>0.22732767825754016</v>
      </c>
      <c r="K16">
        <f>$B$13/($B$14-$B$15*J16)</f>
        <v>0.22732775360851817</v>
      </c>
      <c r="L16">
        <f>$B$13/($B$14-$B$15*K16)</f>
        <v>0.22732775750249912</v>
      </c>
      <c r="M16">
        <f>$B$13/($B$14-$B$15*L16)</f>
        <v>0.22732775770373193</v>
      </c>
      <c r="N16">
        <f>$B$13/($B$14-$B$15*M16)</f>
        <v>0.22732775771413119</v>
      </c>
      <c r="O16">
        <f>$B$13/($B$14-$B$15*N16)</f>
        <v>0.22732775771466859</v>
      </c>
      <c r="P16">
        <f>$B$13/($B$14-$B$15*O16)</f>
        <v>0.22732775771469638</v>
      </c>
      <c r="Q16">
        <f>$B$13/($B$14-$B$15*P16)</f>
        <v>0.22732775771469782</v>
      </c>
      <c r="R16">
        <f>$B$13/($B$14-$B$15*Q16)</f>
        <v>0.2273277577146979</v>
      </c>
      <c r="S16">
        <f>$B$13/($B$14-$B$15*R16)</f>
        <v>0.2273277577146979</v>
      </c>
      <c r="T16">
        <f>$B$13/($B$14-$B$15*S16)</f>
        <v>0.2273277577146979</v>
      </c>
      <c r="U16">
        <f>$B$13/($B$14-$B$15*T16)</f>
        <v>0.2273277577146979</v>
      </c>
      <c r="V16">
        <f>$B$13/($B$14-$B$15*U16)</f>
        <v>0.2273277577146979</v>
      </c>
      <c r="W16">
        <f>$B$13/($B$14-$B$15*V16)</f>
        <v>0.2273277577146979</v>
      </c>
      <c r="X16">
        <f>$B$13/($B$14-$B$15*W16)</f>
        <v>0.2273277577146979</v>
      </c>
      <c r="Y16">
        <f>$B$13/($B$14-$B$15*X16)</f>
        <v>0.2273277577146979</v>
      </c>
      <c r="Z16">
        <f>$B$13/($B$14-$B$15*Y16)</f>
        <v>0.2273277577146979</v>
      </c>
      <c r="AA16">
        <f>$B$13/($B$14-$B$15*Z16)</f>
        <v>0.2273277577146979</v>
      </c>
      <c r="AB16">
        <f>$B$13/($B$14-$B$15*AA16)</f>
        <v>0.2273277577146979</v>
      </c>
      <c r="AC16">
        <f>$B$13/($B$14-$B$15*AB16)</f>
        <v>0.2273277577146979</v>
      </c>
      <c r="AD16">
        <f>$B$13/($B$14-$B$15*AC16)</f>
        <v>0.2273277577146979</v>
      </c>
      <c r="AE16">
        <f>$B$13/($B$14-$B$15*AD16)</f>
        <v>0.2273277577146979</v>
      </c>
      <c r="AF16">
        <f>$B$13/($B$14-$B$15*AE16)</f>
        <v>0.2273277577146979</v>
      </c>
      <c r="AG16">
        <f>$B$13/($B$14-$B$15*AF16)</f>
        <v>0.2273277577146979</v>
      </c>
      <c r="AH16">
        <f>$B$13/($B$14-$B$15*AG16)</f>
        <v>0.2273277577146979</v>
      </c>
    </row>
    <row r="17" spans="1:34">
      <c r="D17" s="1" t="s">
        <v>15</v>
      </c>
      <c r="E17">
        <v>300</v>
      </c>
      <c r="F17">
        <f>(E17*$B$15-F15)/($B$14-$B$15*E16)</f>
        <v>230.75857890687476</v>
      </c>
      <c r="G17">
        <f>(F17*$B$15-G15)/($B$14-$B$15*F16)</f>
        <v>221.76573632513313</v>
      </c>
      <c r="H17">
        <f>(G17*$B$15-H15)/($B$14-$B$15*G16)</f>
        <v>215.65598648044838</v>
      </c>
      <c r="I17">
        <f>(H17*$B$15-I15)/($B$14-$B$15*H16)</f>
        <v>209.71430647044295</v>
      </c>
      <c r="J17">
        <f>(I17*$B$15-J15)/($B$14-$B$15*I16)</f>
        <v>203.81270867560366</v>
      </c>
      <c r="K17">
        <f>(J17*$B$15-K15)/($B$14-$B$15*J16)</f>
        <v>197.95254997113608</v>
      </c>
      <c r="L17">
        <f>(K17*$B$15-L15)/($B$14-$B$15*K16)</f>
        <v>192.14125409662597</v>
      </c>
      <c r="M17">
        <f>(L17*$B$15-M15)/($B$14-$B$15*L16)</f>
        <v>186.3860367354664</v>
      </c>
      <c r="N17">
        <f>(M17*$B$15-N15)/($B$14-$B$15*M16)</f>
        <v>180.69351538901094</v>
      </c>
      <c r="O17">
        <f>(N17*$B$15-O15)/($B$14-$B$15*N16)</f>
        <v>175.06962125872303</v>
      </c>
      <c r="P17">
        <f>(O17*$B$15-P15)/($B$14-$B$15*O16)</f>
        <v>169.51953348619622</v>
      </c>
      <c r="Q17">
        <f>(P17*$B$15-Q15)/($B$14-$B$15*P16)</f>
        <v>164.04762238581321</v>
      </c>
      <c r="R17">
        <f>(Q17*$B$15-R15)/($B$14-$B$15*Q16)</f>
        <v>158.65740158474003</v>
      </c>
      <c r="S17">
        <f>(R17*$B$15-S15)/($B$14-$B$15*R16)</f>
        <v>153.35148955814674</v>
      </c>
      <c r="T17">
        <f>(S17*$B$15-T15)/($B$14-$B$15*S16)</f>
        <v>148.1315809779372</v>
      </c>
      <c r="U17">
        <f>(T17*$B$15-U15)/($B$14-$B$15*T16)</f>
        <v>142.99842818717917</v>
      </c>
      <c r="V17">
        <f>(U17*$B$15-V15)/($B$14-$B$15*U16)</f>
        <v>137.95183300138049</v>
      </c>
      <c r="W17">
        <f>(V17*$B$15-W15)/($B$14-$B$15*V16)</f>
        <v>132.99064892451204</v>
      </c>
      <c r="X17">
        <f>(W17*$B$15-X15)/($B$14-$B$15*W16)</f>
        <v>128.11279375354439</v>
      </c>
      <c r="Y17">
        <f>(X17*$B$15-Y15)/($B$14-$B$15*X16)</f>
        <v>123.31527243150914</v>
      </c>
      <c r="Z17">
        <f>(Y17*$B$15-Z15)/($B$14-$B$15*Y16)</f>
        <v>118.59420989695387</v>
      </c>
      <c r="AA17">
        <f>(Z17*$B$15-AA15)/($B$14-$B$15*Z16)</f>
        <v>113.944893568355</v>
      </c>
      <c r="AB17">
        <f>(AA17*$B$15-AB15)/($B$14-$B$15*AA16)</f>
        <v>109.36182499677915</v>
      </c>
      <c r="AC17">
        <f>(AB17*$B$15-AC15)/($B$14-$B$15*AB16)</f>
        <v>104.83878011997319</v>
      </c>
      <c r="AD17">
        <f>(AC17*$B$15-AD15)/($B$14-$B$15*AC16)</f>
        <v>100.36887745720547</v>
      </c>
      <c r="AE17">
        <f>(AD17*$B$15-AE15)/($B$14-$B$15*AD16)</f>
        <v>95.944653497582408</v>
      </c>
      <c r="AF17">
        <f>(AE17*$B$15-AF15)/($B$14-$B$15*AE16)</f>
        <v>91.558144456160193</v>
      </c>
      <c r="AG17">
        <f>(AF17*$B$15-AG15)/($B$14-$B$15*AF16)</f>
        <v>87.200973502799215</v>
      </c>
      <c r="AH17">
        <f>(AG17*$B$15-AH15)/($B$14-$B$15*AG16)</f>
        <v>82.864442509114781</v>
      </c>
    </row>
    <row r="21" spans="1:34">
      <c r="A21" s="1" t="s">
        <v>9</v>
      </c>
      <c r="B21" s="1">
        <v>92000</v>
      </c>
    </row>
  </sheetData>
  <conditionalFormatting sqref="E11:AI11">
    <cfRule type="colorScale" priority="1">
      <colorScale>
        <cfvo type="min" val="0"/>
        <cfvo type="percentile" val="50"/>
        <cfvo type="max" val="0"/>
        <color rgb="FF00206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tyu Dasha</dc:creator>
  <cp:lastModifiedBy>Александр Шаронов</cp:lastModifiedBy>
  <dcterms:created xsi:type="dcterms:W3CDTF">2021-02-19T10:02:29Z</dcterms:created>
  <dcterms:modified xsi:type="dcterms:W3CDTF">2021-03-19T04:21:24Z</dcterms:modified>
</cp:coreProperties>
</file>